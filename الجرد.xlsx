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QaareebApp\"/>
    </mc:Choice>
  </mc:AlternateContent>
  <xr:revisionPtr revIDLastSave="0" documentId="13_ncr:1_{5D1EDA35-B98D-4512-BD5B-2CB2E68D0FB2}" xr6:coauthVersionLast="47" xr6:coauthVersionMax="47" xr10:uidLastSave="{00000000-0000-0000-0000-000000000000}"/>
  <bookViews>
    <workbookView xWindow="3150" yWindow="3150" windowWidth="21600" windowHeight="12645" xr2:uid="{00000000-000D-0000-FFFF-FFFF00000000}"/>
  </bookViews>
  <sheets>
    <sheet name="المنتجا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" l="1"/>
  <c r="N2" i="1"/>
  <c r="N3" i="1"/>
  <c r="N4" i="1"/>
  <c r="N5" i="1"/>
  <c r="N6" i="1"/>
  <c r="N7" i="1"/>
  <c r="N8" i="1"/>
  <c r="N10" i="1"/>
  <c r="N11" i="1"/>
  <c r="N12" i="1"/>
  <c r="N13" i="1"/>
  <c r="M3" i="1"/>
  <c r="M4" i="1"/>
  <c r="M14" i="1" s="1"/>
  <c r="M5" i="1"/>
  <c r="M6" i="1"/>
  <c r="M7" i="1"/>
  <c r="M8" i="1"/>
  <c r="M9" i="1"/>
  <c r="M10" i="1"/>
  <c r="M11" i="1"/>
  <c r="M12" i="1"/>
  <c r="M13" i="1"/>
  <c r="M2" i="1"/>
</calcChain>
</file>

<file path=xl/sharedStrings.xml><?xml version="1.0" encoding="utf-8"?>
<sst xmlns="http://schemas.openxmlformats.org/spreadsheetml/2006/main" count="57" uniqueCount="32">
  <si>
    <t>الاسم</t>
  </si>
  <si>
    <t>الكود</t>
  </si>
  <si>
    <t>الفئة</t>
  </si>
  <si>
    <t>الوحدة</t>
  </si>
  <si>
    <t>الكمية</t>
  </si>
  <si>
    <t>سعر التكلفة</t>
  </si>
  <si>
    <t>سعر البيع</t>
  </si>
  <si>
    <t>الضمان</t>
  </si>
  <si>
    <t>سعر البيع بالدولار</t>
  </si>
  <si>
    <t>سعر الصرف الأولي</t>
  </si>
  <si>
    <t>تاريخ الانتهاء</t>
  </si>
  <si>
    <t>ثلاجة 14 قدم</t>
  </si>
  <si>
    <t>ثلاجات</t>
  </si>
  <si>
    <t>قطعة</t>
  </si>
  <si>
    <t/>
  </si>
  <si>
    <t>غسالة 12 ك</t>
  </si>
  <si>
    <t>غسالات</t>
  </si>
  <si>
    <t>مروحة سقف</t>
  </si>
  <si>
    <t>مراوح</t>
  </si>
  <si>
    <t>مروحة شحن</t>
  </si>
  <si>
    <t>مكيف اسبلت</t>
  </si>
  <si>
    <t>مكيفات</t>
  </si>
  <si>
    <t>مكيف متحرك 10 الف وحدة</t>
  </si>
  <si>
    <t>مكيف متحرك 6 الف وحدة</t>
  </si>
  <si>
    <t>الكمية الجديدة</t>
  </si>
  <si>
    <t>مروحة سقف اروين</t>
  </si>
  <si>
    <t>فريرزار 14 قدم</t>
  </si>
  <si>
    <t>فريرزار 10 قدم</t>
  </si>
  <si>
    <t>فريرزار 8 قدم</t>
  </si>
  <si>
    <t>ثلاجة ال جي 10 قدم</t>
  </si>
  <si>
    <t>فرق الكمية</t>
  </si>
  <si>
    <t>السعر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</si>
</sst>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NumberFormat="1"/>
    <xf numFmtId="0" fontId="2" fillId="0" borderId="0" xfId="0" applyNumberFormat="1" applyFont="1"/>
    <xf numFmtId="0" fontId="2" fillId="0" borderId="1" xfId="0" applyNumberFormat="1" applyFont="1" applyBorder="1"/>
    <xf numFmtId="164" fontId="2" fillId="0" borderId="1" xfId="1" applyNumberFormat="1" applyFont="1" applyBorder="1"/>
    <xf numFmtId="164" fontId="2" fillId="0" borderId="1" xfId="0" applyNumberFormat="1" applyFont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0" fontId="2" fillId="0" borderId="6" xfId="0" applyNumberFormat="1" applyFont="1" applyBorder="1"/>
    <xf numFmtId="0" fontId="2" fillId="0" borderId="7" xfId="0" applyNumberFormat="1" applyFont="1" applyBorder="1"/>
    <xf numFmtId="0" fontId="2" fillId="0" borderId="8" xfId="0" applyNumberFormat="1" applyFont="1" applyBorder="1"/>
    <xf numFmtId="164" fontId="2" fillId="0" borderId="8" xfId="0" applyNumberFormat="1" applyFont="1" applyBorder="1"/>
    <xf numFmtId="0" fontId="2" fillId="0" borderId="9" xfId="0" applyNumberFormat="1" applyFont="1" applyBorder="1"/>
  </cellXfs>
  <cellStyles count="2">
    <cellStyle name="Comma" xfId="1" builtinId="3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50A7B-40E5-417B-9452-23A68C4E5833}" name="Table1" displayName="Table1" ref="A1:N14" totalsRowShown="0" headerRowDxfId="0" dataDxfId="1" headerRowBorderDxfId="17" tableBorderDxfId="18" totalsRowBorderDxfId="16">
  <autoFilter ref="A1:N14" xr:uid="{5D050A7B-40E5-417B-9452-23A68C4E5833}"/>
  <tableColumns count="14">
    <tableColumn id="1" xr3:uid="{A014F769-921B-4ADC-BBED-FB12506F50C4}" name="الاسم" dataDxfId="15"/>
    <tableColumn id="2" xr3:uid="{CF91F0D4-6F58-4A92-A694-83C6CA0ADFC8}" name="الكود" dataDxfId="14"/>
    <tableColumn id="3" xr3:uid="{64821D56-2AB5-4D69-9ABC-B895B4314B92}" name="الفئة" dataDxfId="13"/>
    <tableColumn id="4" xr3:uid="{9284DCF6-5405-4747-A2AF-AB8323121D44}" name="الوحدة" dataDxfId="12"/>
    <tableColumn id="5" xr3:uid="{08FFDF59-9564-40F9-A843-05EB55F716FE}" name="الكمية" dataDxfId="11"/>
    <tableColumn id="6" xr3:uid="{BF6C1173-BC6B-42B4-BB32-2AA536CA23ED}" name="سعر التكلفة" dataDxfId="10" dataCellStyle="Comma"/>
    <tableColumn id="7" xr3:uid="{BAB19FA3-6BA3-4DD6-A469-E59A04833194}" name="سعر البيع" dataDxfId="9"/>
    <tableColumn id="8" xr3:uid="{51813C16-AC5A-44C6-A1C8-92BF78D55779}" name="الضمان" dataDxfId="8"/>
    <tableColumn id="9" xr3:uid="{FE86D68C-F78A-4EBE-B093-A9065B6E7D02}" name="سعر البيع بالدولار" dataDxfId="7"/>
    <tableColumn id="10" xr3:uid="{2B655483-AAF4-46B4-BD21-2489225385E6}" name="سعر الصرف الأولي" dataDxfId="6"/>
    <tableColumn id="11" xr3:uid="{C2E46858-27F5-4F38-9DBB-7B5603E9AFF6}" name="تاريخ الانتهاء" dataDxfId="5"/>
    <tableColumn id="12" xr3:uid="{F3292D16-19D6-4005-94E8-A8B5E3C696AA}" name="الكمية الجديدة" dataDxfId="4"/>
    <tableColumn id="13" xr3:uid="{9A4C415D-64DA-493C-8415-86213CB274C4}" name="السعر" dataDxfId="3"/>
    <tableColumn id="14" xr3:uid="{FA0B85F9-6CD9-4820-A29E-E1F863A439E6}" name="فرق الكمية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rightToLeft="1" tabSelected="1" workbookViewId="0">
      <selection activeCell="G5" sqref="G5"/>
    </sheetView>
  </sheetViews>
  <sheetFormatPr defaultRowHeight="15.75" x14ac:dyDescent="0.25"/>
  <cols>
    <col min="1" max="1" width="16.77734375" style="1" bestFit="1" customWidth="1"/>
    <col min="2" max="2" width="5.33203125" style="1" customWidth="1"/>
    <col min="3" max="3" width="5.5546875" style="1" bestFit="1" customWidth="1"/>
    <col min="4" max="4" width="6.109375" style="1" customWidth="1"/>
    <col min="5" max="5" width="6" style="1" customWidth="1"/>
    <col min="6" max="6" width="10" style="1" bestFit="1" customWidth="1"/>
    <col min="7" max="7" width="8.109375" style="1" customWidth="1"/>
    <col min="8" max="8" width="6.88671875" style="1" customWidth="1"/>
    <col min="9" max="9" width="12.88671875" style="1" customWidth="1"/>
    <col min="10" max="10" width="13.77734375" style="1" customWidth="1"/>
    <col min="11" max="12" width="10.33203125" style="1" customWidth="1"/>
    <col min="13" max="13" width="11" style="1" bestFit="1" customWidth="1"/>
    <col min="14" max="14" width="8.88671875" style="1" customWidth="1"/>
    <col min="15" max="16384" width="8.88671875" style="1"/>
  </cols>
  <sheetData>
    <row r="1" spans="1:14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24</v>
      </c>
      <c r="M1" s="8" t="s">
        <v>31</v>
      </c>
      <c r="N1" s="9" t="s">
        <v>30</v>
      </c>
    </row>
    <row r="2" spans="1:14" x14ac:dyDescent="0.25">
      <c r="A2" s="5" t="s">
        <v>11</v>
      </c>
      <c r="B2" s="2">
        <v>3</v>
      </c>
      <c r="C2" s="2" t="s">
        <v>12</v>
      </c>
      <c r="D2" s="2" t="s">
        <v>13</v>
      </c>
      <c r="E2" s="2">
        <v>10</v>
      </c>
      <c r="F2" s="3">
        <v>1200000</v>
      </c>
      <c r="G2" s="2">
        <v>0</v>
      </c>
      <c r="H2" s="2"/>
      <c r="I2" s="2">
        <v>0</v>
      </c>
      <c r="J2" s="2">
        <v>3700</v>
      </c>
      <c r="K2" s="2" t="s">
        <v>14</v>
      </c>
      <c r="L2" s="2">
        <v>0</v>
      </c>
      <c r="M2" s="4">
        <f>F2*L2</f>
        <v>0</v>
      </c>
      <c r="N2" s="6">
        <f>E2-L2</f>
        <v>10</v>
      </c>
    </row>
    <row r="3" spans="1:14" x14ac:dyDescent="0.25">
      <c r="A3" s="5" t="s">
        <v>15</v>
      </c>
      <c r="B3" s="2">
        <v>6</v>
      </c>
      <c r="C3" s="2" t="s">
        <v>16</v>
      </c>
      <c r="D3" s="2" t="s">
        <v>13</v>
      </c>
      <c r="E3" s="2">
        <v>32</v>
      </c>
      <c r="F3" s="3">
        <v>460000</v>
      </c>
      <c r="G3" s="2">
        <v>0</v>
      </c>
      <c r="H3" s="2"/>
      <c r="I3" s="2">
        <v>0</v>
      </c>
      <c r="J3" s="2">
        <v>3700</v>
      </c>
      <c r="K3" s="2" t="s">
        <v>14</v>
      </c>
      <c r="L3" s="2">
        <v>1</v>
      </c>
      <c r="M3" s="4">
        <f t="shared" ref="M3:M13" si="0">F3*L3</f>
        <v>460000</v>
      </c>
      <c r="N3" s="6">
        <f t="shared" ref="N3:N13" si="1">E3-L3</f>
        <v>31</v>
      </c>
    </row>
    <row r="4" spans="1:14" x14ac:dyDescent="0.25">
      <c r="A4" s="5" t="s">
        <v>17</v>
      </c>
      <c r="B4" s="2">
        <v>7</v>
      </c>
      <c r="C4" s="2" t="s">
        <v>18</v>
      </c>
      <c r="D4" s="2" t="s">
        <v>13</v>
      </c>
      <c r="E4" s="2">
        <v>200</v>
      </c>
      <c r="F4" s="3">
        <v>55000</v>
      </c>
      <c r="G4" s="2">
        <v>0</v>
      </c>
      <c r="H4" s="2"/>
      <c r="I4" s="2">
        <v>0</v>
      </c>
      <c r="J4" s="2">
        <v>3700</v>
      </c>
      <c r="K4" s="2" t="s">
        <v>14</v>
      </c>
      <c r="L4" s="2">
        <v>81</v>
      </c>
      <c r="M4" s="4">
        <f t="shared" si="0"/>
        <v>4455000</v>
      </c>
      <c r="N4" s="6">
        <f t="shared" si="1"/>
        <v>119</v>
      </c>
    </row>
    <row r="5" spans="1:14" x14ac:dyDescent="0.25">
      <c r="A5" s="5" t="s">
        <v>19</v>
      </c>
      <c r="B5" s="2">
        <v>2</v>
      </c>
      <c r="C5" s="2" t="s">
        <v>18</v>
      </c>
      <c r="D5" s="2" t="s">
        <v>13</v>
      </c>
      <c r="E5" s="2">
        <v>112</v>
      </c>
      <c r="F5" s="3">
        <v>170000</v>
      </c>
      <c r="G5" s="2">
        <v>0</v>
      </c>
      <c r="H5" s="2"/>
      <c r="I5" s="2">
        <v>0</v>
      </c>
      <c r="J5" s="2">
        <v>3700</v>
      </c>
      <c r="K5" s="2" t="s">
        <v>14</v>
      </c>
      <c r="L5" s="2">
        <v>3</v>
      </c>
      <c r="M5" s="4">
        <f t="shared" si="0"/>
        <v>510000</v>
      </c>
      <c r="N5" s="6">
        <f t="shared" si="1"/>
        <v>109</v>
      </c>
    </row>
    <row r="6" spans="1:14" x14ac:dyDescent="0.25">
      <c r="A6" s="5" t="s">
        <v>20</v>
      </c>
      <c r="B6" s="2">
        <v>4</v>
      </c>
      <c r="C6" s="2" t="s">
        <v>21</v>
      </c>
      <c r="D6" s="2" t="s">
        <v>13</v>
      </c>
      <c r="E6" s="2">
        <v>20</v>
      </c>
      <c r="F6" s="3">
        <v>1250000</v>
      </c>
      <c r="G6" s="2">
        <v>0</v>
      </c>
      <c r="H6" s="2"/>
      <c r="I6" s="2">
        <v>0</v>
      </c>
      <c r="J6" s="2">
        <v>3700</v>
      </c>
      <c r="K6" s="2" t="s">
        <v>14</v>
      </c>
      <c r="L6" s="2">
        <v>3</v>
      </c>
      <c r="M6" s="4">
        <f t="shared" si="0"/>
        <v>3750000</v>
      </c>
      <c r="N6" s="6">
        <f t="shared" si="1"/>
        <v>17</v>
      </c>
    </row>
    <row r="7" spans="1:14" x14ac:dyDescent="0.25">
      <c r="A7" s="5" t="s">
        <v>22</v>
      </c>
      <c r="B7" s="2">
        <v>5</v>
      </c>
      <c r="C7" s="2" t="s">
        <v>21</v>
      </c>
      <c r="D7" s="2" t="s">
        <v>13</v>
      </c>
      <c r="E7" s="2">
        <v>52</v>
      </c>
      <c r="F7" s="3">
        <v>650000</v>
      </c>
      <c r="G7" s="2">
        <v>0</v>
      </c>
      <c r="H7" s="2"/>
      <c r="I7" s="2">
        <v>0</v>
      </c>
      <c r="J7" s="2">
        <v>3700</v>
      </c>
      <c r="K7" s="2" t="s">
        <v>14</v>
      </c>
      <c r="L7" s="2">
        <v>0</v>
      </c>
      <c r="M7" s="4">
        <f t="shared" si="0"/>
        <v>0</v>
      </c>
      <c r="N7" s="6">
        <f t="shared" si="1"/>
        <v>52</v>
      </c>
    </row>
    <row r="8" spans="1:14" x14ac:dyDescent="0.25">
      <c r="A8" s="5" t="s">
        <v>23</v>
      </c>
      <c r="B8" s="2">
        <v>1</v>
      </c>
      <c r="C8" s="2" t="s">
        <v>21</v>
      </c>
      <c r="D8" s="2" t="s">
        <v>13</v>
      </c>
      <c r="E8" s="2">
        <v>120</v>
      </c>
      <c r="F8" s="3">
        <v>365000</v>
      </c>
      <c r="G8" s="2">
        <v>0</v>
      </c>
      <c r="H8" s="2"/>
      <c r="I8" s="2">
        <v>0</v>
      </c>
      <c r="J8" s="2">
        <v>3700</v>
      </c>
      <c r="K8" s="2" t="s">
        <v>14</v>
      </c>
      <c r="L8" s="2">
        <v>0</v>
      </c>
      <c r="M8" s="4">
        <f t="shared" si="0"/>
        <v>0</v>
      </c>
      <c r="N8" s="6">
        <f t="shared" si="1"/>
        <v>120</v>
      </c>
    </row>
    <row r="9" spans="1:14" x14ac:dyDescent="0.25">
      <c r="A9" s="5" t="s">
        <v>25</v>
      </c>
      <c r="B9" s="2">
        <v>8</v>
      </c>
      <c r="C9" s="2" t="s">
        <v>18</v>
      </c>
      <c r="D9" s="2" t="s">
        <v>13</v>
      </c>
      <c r="E9" s="2">
        <v>0</v>
      </c>
      <c r="F9" s="3">
        <v>80000</v>
      </c>
      <c r="G9" s="2">
        <v>0</v>
      </c>
      <c r="H9" s="2"/>
      <c r="I9" s="2">
        <v>0</v>
      </c>
      <c r="J9" s="2">
        <v>3700</v>
      </c>
      <c r="K9" s="2"/>
      <c r="L9" s="2">
        <v>9</v>
      </c>
      <c r="M9" s="4">
        <f t="shared" si="0"/>
        <v>720000</v>
      </c>
      <c r="N9" s="6">
        <f>E9-L9</f>
        <v>-9</v>
      </c>
    </row>
    <row r="10" spans="1:14" x14ac:dyDescent="0.25">
      <c r="A10" s="5" t="s">
        <v>26</v>
      </c>
      <c r="B10" s="2">
        <v>9</v>
      </c>
      <c r="C10" s="2" t="s">
        <v>12</v>
      </c>
      <c r="D10" s="2" t="s">
        <v>13</v>
      </c>
      <c r="E10" s="2">
        <v>0</v>
      </c>
      <c r="F10" s="3">
        <v>1080000</v>
      </c>
      <c r="G10" s="2">
        <v>0</v>
      </c>
      <c r="H10" s="2"/>
      <c r="I10" s="2">
        <v>0</v>
      </c>
      <c r="J10" s="2">
        <v>3700</v>
      </c>
      <c r="K10" s="2"/>
      <c r="L10" s="2">
        <v>1</v>
      </c>
      <c r="M10" s="4">
        <f t="shared" si="0"/>
        <v>1080000</v>
      </c>
      <c r="N10" s="6">
        <f t="shared" si="1"/>
        <v>-1</v>
      </c>
    </row>
    <row r="11" spans="1:14" x14ac:dyDescent="0.25">
      <c r="A11" s="5" t="s">
        <v>27</v>
      </c>
      <c r="B11" s="2">
        <v>10</v>
      </c>
      <c r="C11" s="2" t="s">
        <v>12</v>
      </c>
      <c r="D11" s="2" t="s">
        <v>13</v>
      </c>
      <c r="E11" s="2">
        <v>0</v>
      </c>
      <c r="F11" s="3">
        <v>840000</v>
      </c>
      <c r="G11" s="2">
        <v>0</v>
      </c>
      <c r="H11" s="2"/>
      <c r="I11" s="2">
        <v>0</v>
      </c>
      <c r="J11" s="2">
        <v>3700</v>
      </c>
      <c r="K11" s="2"/>
      <c r="L11" s="2">
        <v>1</v>
      </c>
      <c r="M11" s="4">
        <f t="shared" si="0"/>
        <v>840000</v>
      </c>
      <c r="N11" s="6">
        <f t="shared" si="1"/>
        <v>-1</v>
      </c>
    </row>
    <row r="12" spans="1:14" x14ac:dyDescent="0.25">
      <c r="A12" s="5" t="s">
        <v>28</v>
      </c>
      <c r="B12" s="2">
        <v>11</v>
      </c>
      <c r="C12" s="2" t="s">
        <v>12</v>
      </c>
      <c r="D12" s="2" t="s">
        <v>13</v>
      </c>
      <c r="E12" s="2">
        <v>0</v>
      </c>
      <c r="F12" s="3">
        <v>710000</v>
      </c>
      <c r="G12" s="2">
        <v>0</v>
      </c>
      <c r="H12" s="2"/>
      <c r="I12" s="2">
        <v>0</v>
      </c>
      <c r="J12" s="2">
        <v>3700</v>
      </c>
      <c r="K12" s="2"/>
      <c r="L12" s="2">
        <v>1</v>
      </c>
      <c r="M12" s="4">
        <f t="shared" si="0"/>
        <v>710000</v>
      </c>
      <c r="N12" s="6">
        <f t="shared" si="1"/>
        <v>-1</v>
      </c>
    </row>
    <row r="13" spans="1:14" x14ac:dyDescent="0.25">
      <c r="A13" s="5" t="s">
        <v>29</v>
      </c>
      <c r="B13" s="2">
        <v>12</v>
      </c>
      <c r="C13" s="2" t="s">
        <v>12</v>
      </c>
      <c r="D13" s="2" t="s">
        <v>13</v>
      </c>
      <c r="E13" s="2">
        <v>0</v>
      </c>
      <c r="F13" s="3">
        <v>850000</v>
      </c>
      <c r="G13" s="2">
        <v>0</v>
      </c>
      <c r="H13" s="2"/>
      <c r="I13" s="2">
        <v>0</v>
      </c>
      <c r="J13" s="2">
        <v>3700</v>
      </c>
      <c r="K13" s="2"/>
      <c r="L13" s="2">
        <v>1</v>
      </c>
      <c r="M13" s="4">
        <f t="shared" si="0"/>
        <v>850000</v>
      </c>
      <c r="N13" s="6">
        <f t="shared" si="1"/>
        <v>-1</v>
      </c>
    </row>
    <row r="14" spans="1:14" x14ac:dyDescent="0.2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>
        <f>SUM(M2:M13)</f>
        <v>13375000</v>
      </c>
      <c r="N14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المنتجات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Laptoop</dc:creator>
  <cp:lastModifiedBy>Alzubair Faiz</cp:lastModifiedBy>
  <dcterms:created xsi:type="dcterms:W3CDTF">2025-11-01T02:55:30Z</dcterms:created>
  <dcterms:modified xsi:type="dcterms:W3CDTF">2025-11-01T08:22:51Z</dcterms:modified>
</cp:coreProperties>
</file>